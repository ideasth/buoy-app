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jod/Downloads/"/>
    </mc:Choice>
  </mc:AlternateContent>
  <xr:revisionPtr revIDLastSave="0" documentId="13_ncr:1_{8FC15E10-F5D1-994B-B01C-9D79DDA136E6}" xr6:coauthVersionLast="47" xr6:coauthVersionMax="47" xr10:uidLastSave="{00000000-0000-0000-0000-000000000000}"/>
  <bookViews>
    <workbookView xWindow="4360" yWindow="680" windowWidth="30200" windowHeight="20380" xr2:uid="{D5D48D73-F2B6-4043-862B-1574BDD1879A}"/>
  </bookViews>
  <sheets>
    <sheet name="Current-EH-PH-SH-Kids-2606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9" i="1" l="1"/>
  <c r="A8" i="1"/>
  <c r="A7" i="1"/>
  <c r="A6" i="1"/>
</calcChain>
</file>

<file path=xl/sharedStrings.xml><?xml version="1.0" encoding="utf-8"?>
<sst xmlns="http://schemas.openxmlformats.org/spreadsheetml/2006/main" count="57" uniqueCount="41">
  <si>
    <t>Last revision:</t>
  </si>
  <si>
    <t>Key:</t>
  </si>
  <si>
    <t>Starting week as per week 1 of SH week cycle:</t>
  </si>
  <si>
    <t>Week-Date alignment:</t>
  </si>
  <si>
    <t>SH week</t>
  </si>
  <si>
    <t>EH week</t>
  </si>
  <si>
    <t>PH week</t>
  </si>
  <si>
    <t>Mon</t>
  </si>
  <si>
    <t>Tue</t>
  </si>
  <si>
    <t>Wed</t>
  </si>
  <si>
    <t>Thu</t>
  </si>
  <si>
    <t>Fri</t>
  </si>
  <si>
    <t>Sat</t>
  </si>
  <si>
    <t>Sun</t>
  </si>
  <si>
    <t>Week 1</t>
  </si>
  <si>
    <t>Week 4</t>
  </si>
  <si>
    <t>Elgin House</t>
  </si>
  <si>
    <t>PH: ANC (AM) / 
OT - MAIN (PM)</t>
  </si>
  <si>
    <t>SH: Gynae OT</t>
  </si>
  <si>
    <t>Week 2</t>
  </si>
  <si>
    <t>SH: Gyn Clinic</t>
  </si>
  <si>
    <t>PH: UROGYN (AM) / 
GEN GYN (PM)</t>
  </si>
  <si>
    <t>Week 3</t>
  </si>
  <si>
    <t>PH: PH: ADMIN (STUDENTS) (AM) / SH: Gyn Clinic (AM)
PH: ANC (PM)</t>
  </si>
  <si>
    <t>PH: UROGYN (AM) / 
ANC - TEAM LEAD (PM)</t>
  </si>
  <si>
    <t>Peninsula Health</t>
  </si>
  <si>
    <t>Remote access: Peninsula Health remote access</t>
  </si>
  <si>
    <t>PH roster: PH Roster</t>
  </si>
  <si>
    <t>CME site: My Peninsula CME</t>
  </si>
  <si>
    <t>Sandy:</t>
  </si>
  <si>
    <t>Claiming oncall: Claiming oncall example</t>
  </si>
  <si>
    <t>SH roster: SH Roster 2026</t>
  </si>
  <si>
    <t>Previous: SH Roster 2025</t>
  </si>
  <si>
    <t>Alfred roster: Alfred roster week allocations</t>
  </si>
  <si>
    <t>Notes:</t>
  </si>
  <si>
    <r>
      <rPr>
        <sz val="12"/>
        <color rgb="FF000000"/>
        <rFont val="Aptos"/>
      </rPr>
      <t>Timesheet</t>
    </r>
    <r>
      <rPr>
        <b/>
        <sz val="12"/>
        <color rgb="FF000000"/>
        <rFont val="Aptos"/>
      </rPr>
      <t>: </t>
    </r>
    <r>
      <rPr>
        <sz val="12"/>
        <color rgb="FF000000"/>
        <rFont val="Aptos"/>
      </rPr>
      <t>Mark 1 in General Oncall column if birth suite oncall</t>
    </r>
  </si>
  <si>
    <t>Alfred Remote Access</t>
  </si>
  <si>
    <t>Monash Remote Access</t>
  </si>
  <si>
    <t>Work Links</t>
  </si>
  <si>
    <t>EH = Elgin House, SH = Sandringham, PH = Peninsula</t>
  </si>
  <si>
    <t>Master Rotation Template -Work - 4 weekly cycle combining EH, PH, 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</si>
</sst>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\ mmmm\ yyyy;@"/>
    <numFmt numFmtId="165" formatCode="[$-F800]dddd\,\ mmmm\ dd\,\ yyyy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1F4E79"/>
      <name val="Calibri"/>
      <family val="2"/>
    </font>
    <font>
      <sz val="12"/>
      <color rgb="FF1F4E79"/>
      <name val="Calibri"/>
      <family val="2"/>
    </font>
    <font>
      <b/>
      <sz val="11"/>
      <color rgb="FFFFFFFF"/>
      <name val="Calibri"/>
      <family val="2"/>
    </font>
    <font>
      <sz val="10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2"/>
      <color rgb="FF000000"/>
      <name val="Aptos"/>
    </font>
    <font>
      <b/>
      <sz val="12"/>
      <color rgb="FF000000"/>
      <name val="Aptos"/>
    </font>
    <font>
      <u/>
      <sz val="11"/>
      <color theme="10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ck">
        <color rgb="FF000000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ck">
        <color rgb="FF000000"/>
      </bottom>
      <diagonal/>
    </border>
    <border>
      <left style="medium">
        <color rgb="FF000000"/>
      </left>
      <right style="thin">
        <color rgb="FFBFBFBF"/>
      </right>
      <top style="medium">
        <color indexed="64"/>
      </top>
      <bottom style="thick">
        <color rgb="FF000000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14" fontId="2" fillId="0" borderId="0" xfId="0" applyNumberFormat="1" applyFont="1" applyAlignment="1">
      <alignment horizontal="left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0" borderId="0" xfId="0" applyFont="1"/>
    <xf numFmtId="0" fontId="10" fillId="0" borderId="0" xfId="1"/>
    <xf numFmtId="0" fontId="11" fillId="0" borderId="0" xfId="0" applyFont="1"/>
    <xf numFmtId="0" fontId="3" fillId="0" borderId="0" xfId="0" applyFont="1"/>
    <xf numFmtId="0" fontId="1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indows.cloud.microsoft/" TargetMode="External"/><Relationship Id="rId3" Type="http://schemas.openxmlformats.org/officeDocument/2006/relationships/hyperlink" Target="https://www.mypeninsulacme.org/" TargetMode="External"/><Relationship Id="rId7" Type="http://schemas.openxmlformats.org/officeDocument/2006/relationships/hyperlink" Target="https://docs.google.com/document/d/1dd_UlL7Fjpv1VSW4uL0gE_xW1pJQrNb0vqXH_JeOYzo/edit?tab=t.0" TargetMode="External"/><Relationship Id="rId2" Type="http://schemas.openxmlformats.org/officeDocument/2006/relationships/hyperlink" Target="https://phcnvicgovau.sharepoint.com/:f:/r/sites/PeninsulaWomensMedicalStaff-SeniorMedicalStaff/Shared%20Documents/Senior%20Medical%20Staff/Rosters/On%20Call%20Rosters/2025?csf=1&amp;web=1&amp;e=KBMez0" TargetMode="External"/><Relationship Id="rId1" Type="http://schemas.openxmlformats.org/officeDocument/2006/relationships/hyperlink" Target="https://peninsulahealth.omnissahorizon.com/appblast/webclient/" TargetMode="External"/><Relationship Id="rId6" Type="http://schemas.openxmlformats.org/officeDocument/2006/relationships/hyperlink" Target="https://docs.google.com/spreadsheets/d/e/2PACX-1vTG30YbRcKl46c7S_iF5stnqWC7RcVD86urXMM2zKL-d_PncJ4ggvF7OksLo5KDwA/pubhtml" TargetMode="External"/><Relationship Id="rId5" Type="http://schemas.openxmlformats.org/officeDocument/2006/relationships/hyperlink" Target="https://docs.google.com/spreadsheets/d/e/2PACX-1vQj1ryZ2bODLhWhGrvdEGxqkvV2xU7U6Llak8ddIygDpQ4Szo61Sklcx9Z80i4R1w/pubhtml" TargetMode="External"/><Relationship Id="rId4" Type="http://schemas.openxmlformats.org/officeDocument/2006/relationships/hyperlink" Target="https://docs.google.com/spreadsheets/d/e/2PACX-1vTSzjuRBimGQeD-JYWhombqZCVO_mi1Wa3XBk5GBn8_sb44_w3qVPoBtguWDS2kFZ3yqSrFvZewkhjj/pubhtml" TargetMode="External"/><Relationship Id="rId9" Type="http://schemas.openxmlformats.org/officeDocument/2006/relationships/hyperlink" Target="https://portal.monashhealth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25F7-FDF9-294A-A431-4E93FC310A03}">
  <dimension ref="A1:K28"/>
  <sheetViews>
    <sheetView tabSelected="1" topLeftCell="A6" zoomScale="140" zoomScaleNormal="140" workbookViewId="0">
      <selection activeCell="C13" sqref="C13"/>
    </sheetView>
  </sheetViews>
  <sheetFormatPr baseColWidth="10" defaultColWidth="8.83203125" defaultRowHeight="15" x14ac:dyDescent="0.2"/>
  <cols>
    <col min="1" max="1" width="22.6640625" customWidth="1"/>
    <col min="2" max="2" width="15.83203125" customWidth="1"/>
    <col min="3" max="3" width="10.5" style="4" customWidth="1"/>
    <col min="4" max="4" width="10" customWidth="1"/>
    <col min="5" max="5" width="13.6640625" customWidth="1"/>
    <col min="6" max="6" width="17.1640625" customWidth="1"/>
    <col min="7" max="7" width="41.83203125" customWidth="1"/>
    <col min="8" max="9" width="15.6640625" customWidth="1"/>
    <col min="10" max="11" width="14.1640625" customWidth="1"/>
  </cols>
  <sheetData>
    <row r="1" spans="1:11" ht="19" x14ac:dyDescent="0.25">
      <c r="A1" s="23" t="s">
        <v>40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19" x14ac:dyDescent="0.25">
      <c r="A2" s="2" t="s">
        <v>0</v>
      </c>
      <c r="B2" s="3">
        <v>46199</v>
      </c>
      <c r="D2" s="1"/>
    </row>
    <row r="3" spans="1:11" ht="17" x14ac:dyDescent="0.2">
      <c r="A3" s="5" t="s">
        <v>1</v>
      </c>
      <c r="B3" s="24" t="s">
        <v>39</v>
      </c>
    </row>
    <row r="4" spans="1:11" ht="35" thickBot="1" x14ac:dyDescent="0.25">
      <c r="A4" s="5" t="s">
        <v>2</v>
      </c>
      <c r="B4" s="6">
        <v>46258</v>
      </c>
    </row>
    <row r="5" spans="1:11" ht="17" thickBot="1" x14ac:dyDescent="0.25">
      <c r="A5" s="7" t="s">
        <v>3</v>
      </c>
      <c r="B5" s="8" t="s">
        <v>4</v>
      </c>
      <c r="C5" s="9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10" t="s">
        <v>13</v>
      </c>
    </row>
    <row r="6" spans="1:11" ht="32" thickTop="1" thickBot="1" x14ac:dyDescent="0.25">
      <c r="A6" s="11">
        <f>B4</f>
        <v>46258</v>
      </c>
      <c r="B6" s="12" t="s">
        <v>14</v>
      </c>
      <c r="C6" s="12" t="s">
        <v>14</v>
      </c>
      <c r="D6" s="12" t="s">
        <v>15</v>
      </c>
      <c r="E6" s="12" t="s">
        <v>16</v>
      </c>
      <c r="F6" s="12" t="s">
        <v>16</v>
      </c>
      <c r="G6" s="14" t="s">
        <v>17</v>
      </c>
      <c r="H6" s="12"/>
      <c r="I6" s="12" t="s">
        <v>18</v>
      </c>
      <c r="J6" s="12"/>
      <c r="K6" s="13"/>
    </row>
    <row r="7" spans="1:11" ht="31" thickBot="1" x14ac:dyDescent="0.25">
      <c r="A7" s="11">
        <f>B4+7</f>
        <v>46265</v>
      </c>
      <c r="B7" s="12" t="s">
        <v>19</v>
      </c>
      <c r="C7" s="12" t="s">
        <v>19</v>
      </c>
      <c r="D7" s="12" t="s">
        <v>14</v>
      </c>
      <c r="E7" s="12" t="s">
        <v>20</v>
      </c>
      <c r="F7" s="12" t="s">
        <v>16</v>
      </c>
      <c r="G7" s="14" t="s">
        <v>21</v>
      </c>
      <c r="H7" s="12"/>
      <c r="I7" s="12" t="s">
        <v>16</v>
      </c>
      <c r="J7" s="12"/>
      <c r="K7" s="13"/>
    </row>
    <row r="8" spans="1:11" ht="33" thickBot="1" x14ac:dyDescent="0.25">
      <c r="A8" s="11">
        <f>B4+14</f>
        <v>46272</v>
      </c>
      <c r="B8" s="12" t="s">
        <v>22</v>
      </c>
      <c r="C8" s="12" t="s">
        <v>14</v>
      </c>
      <c r="D8" s="12" t="s">
        <v>19</v>
      </c>
      <c r="E8" s="12" t="s">
        <v>16</v>
      </c>
      <c r="F8" s="12" t="s">
        <v>16</v>
      </c>
      <c r="G8" s="15" t="s">
        <v>23</v>
      </c>
      <c r="H8" s="12"/>
      <c r="I8" s="12"/>
      <c r="J8" s="12"/>
      <c r="K8" s="13"/>
    </row>
    <row r="9" spans="1:11" ht="30" x14ac:dyDescent="0.2">
      <c r="A9" s="11">
        <f>B4+21</f>
        <v>46279</v>
      </c>
      <c r="B9" s="12" t="s">
        <v>15</v>
      </c>
      <c r="C9" s="12" t="s">
        <v>14</v>
      </c>
      <c r="D9" s="12" t="s">
        <v>22</v>
      </c>
      <c r="E9" s="12" t="s">
        <v>20</v>
      </c>
      <c r="F9" s="12" t="s">
        <v>16</v>
      </c>
      <c r="G9" s="14" t="s">
        <v>24</v>
      </c>
      <c r="H9" s="12"/>
      <c r="I9" s="12" t="s">
        <v>16</v>
      </c>
      <c r="J9" s="12"/>
      <c r="K9" s="13"/>
    </row>
    <row r="10" spans="1:11" x14ac:dyDescent="0.2">
      <c r="B10" s="16"/>
      <c r="D10" s="16"/>
      <c r="E10" s="17"/>
      <c r="F10" s="18"/>
      <c r="G10" s="19"/>
      <c r="H10" s="19"/>
      <c r="I10" s="18"/>
      <c r="J10" s="18"/>
      <c r="K10" s="18"/>
    </row>
    <row r="11" spans="1:11" ht="24" x14ac:dyDescent="0.3">
      <c r="A11" s="22" t="s">
        <v>38</v>
      </c>
      <c r="F11" s="4"/>
    </row>
    <row r="12" spans="1:11" ht="16" x14ac:dyDescent="0.2">
      <c r="A12" s="20" t="s">
        <v>25</v>
      </c>
    </row>
    <row r="13" spans="1:11" x14ac:dyDescent="0.2">
      <c r="A13" s="21" t="s">
        <v>26</v>
      </c>
    </row>
    <row r="14" spans="1:11" x14ac:dyDescent="0.2">
      <c r="A14" s="21" t="s">
        <v>27</v>
      </c>
    </row>
    <row r="15" spans="1:11" x14ac:dyDescent="0.2">
      <c r="A15" s="21" t="s">
        <v>28</v>
      </c>
    </row>
    <row r="16" spans="1:11" x14ac:dyDescent="0.2">
      <c r="A16" s="21"/>
    </row>
    <row r="17" spans="1:1" x14ac:dyDescent="0.2">
      <c r="A17" t="s">
        <v>34</v>
      </c>
    </row>
    <row r="18" spans="1:1" ht="16" x14ac:dyDescent="0.2">
      <c r="A18" s="20" t="s">
        <v>35</v>
      </c>
    </row>
    <row r="21" spans="1:1" ht="16" x14ac:dyDescent="0.2">
      <c r="A21" s="20" t="s">
        <v>29</v>
      </c>
    </row>
    <row r="22" spans="1:1" x14ac:dyDescent="0.2">
      <c r="A22" s="21" t="s">
        <v>30</v>
      </c>
    </row>
    <row r="23" spans="1:1" x14ac:dyDescent="0.2">
      <c r="A23" s="21" t="s">
        <v>31</v>
      </c>
    </row>
    <row r="24" spans="1:1" x14ac:dyDescent="0.2">
      <c r="A24" s="21" t="s">
        <v>33</v>
      </c>
    </row>
    <row r="25" spans="1:1" x14ac:dyDescent="0.2">
      <c r="A25" s="21" t="s">
        <v>36</v>
      </c>
    </row>
    <row r="26" spans="1:1" x14ac:dyDescent="0.2">
      <c r="A26" s="21" t="s">
        <v>37</v>
      </c>
    </row>
    <row r="27" spans="1:1" x14ac:dyDescent="0.2">
      <c r="A27" s="21"/>
    </row>
    <row r="28" spans="1:1" x14ac:dyDescent="0.2">
      <c r="A28" s="21" t="s">
        <v>32</v>
      </c>
    </row>
  </sheetData>
  <mergeCells count="1">
    <mergeCell ref="A1:K1"/>
  </mergeCells>
  <hyperlinks>
    <hyperlink ref="A13" r:id="rId1" location="/launchitemsv2" tooltip="https://phworkspace.cloud.com" xr:uid="{1D2DC4E2-1084-8441-AC5C-C149583F7F3E}"/>
    <hyperlink ref="A14" r:id="rId2" tooltip="Original URL:_x000a_https://phcnvicgovau.sharepoint.com/:f:/r/sites/PeninsulaWomensMedicalStaff-SeniorMedicalStaff/Shared%20Documents/Senior%20Medical%20Staff/Rosters/On%20Call%20Rosters/2025?csf=1&amp;web=1&amp;e=KBMez0_x000a__x000a_Click to follow link." display="https://phcnvicgovau.sharepoint.com/:f:/r/sites/PeninsulaWomensMedicalStaff-SeniorMedicalStaff/Shared Documents/Senior Medical Staff/Rosters/On Call Rosters/2025?csf=1&amp;web=1&amp;e=KBMez0" xr:uid="{E25A7E3C-70BD-2846-8E6F-142C209D417A}"/>
    <hyperlink ref="A15" r:id="rId3" tooltip="https://www.mypeninsulacme.org/" display="https://www.mypeninsulacme.org/" xr:uid="{649B54A2-0004-6646-96BA-157748CACCEF}"/>
    <hyperlink ref="A23" r:id="rId4" tooltip="https://docs.google.com/spreadsheets/d/e/2PACX-1vTSzjuRBimGQeD-JYWhombqZCVO_mi1Wa3XBk5GBn8_sb44_w3qVPoBtguWDS2kFZ3yqSrFvZewkhjj/pubhtml" display="https://docs.google.com/spreadsheets/d/e/2PACX-1vTSzjuRBimGQeD-JYWhombqZCVO_mi1Wa3XBk5GBn8_sb44_w3qVPoBtguWDS2kFZ3yqSrFvZewkhjj/pubhtml" xr:uid="{97103497-3217-6542-9C89-90700A6F5035}"/>
    <hyperlink ref="A28" r:id="rId5" tooltip="https://docs.google.com/spreadsheets/d/e/2PACX-1vQj1ryZ2bODLhWhGrvdEGxqkvV2xU7U6Llak8ddIygDpQ4Szo61Sklcx9Z80i4R1w/pubhtml#" display="https://docs.google.com/spreadsheets/d/e/2PACX-1vQj1ryZ2bODLhWhGrvdEGxqkvV2xU7U6Llak8ddIygDpQ4Szo61Sklcx9Z80i4R1w/pubhtml" xr:uid="{CF459C2A-B7E8-7044-9405-BC46799BA84B}"/>
    <hyperlink ref="A24" r:id="rId6" tooltip="https://docs.google.com/spreadsheets/d/e/2PACX-1vTG30YbRcKl46c7S_iF5stnqWC7RcVD86urXMM2zKL-d_PncJ4ggvF7OksLo5KDwA/pubhtml" display="https://docs.google.com/spreadsheets/d/e/2PACX-1vTG30YbRcKl46c7S_iF5stnqWC7RcVD86urXMM2zKL-d_PncJ4ggvF7OksLo5KDwA/pubhtml" xr:uid="{EEDC966F-584D-3443-9BDB-4A5F6FC78C86}"/>
    <hyperlink ref="A22" r:id="rId7" tooltip="https://docs.google.com/document/d/1dd_UlL7Fjpv1VSW4uL0gE_xW1pJQrNb0vqXH_JeOYzo/edit?tab=t.0" display="https://docs.google.com/document/d/1dd_UlL7Fjpv1VSW4uL0gE_xW1pJQrNb0vqXH_JeOYzo/edit?tab=t.0" xr:uid="{A778CF2F-06AE-E944-94A2-1E885AB792CE}"/>
    <hyperlink ref="A25" r:id="rId8" xr:uid="{5D68DDF5-99FB-C743-88F7-CA80E674AB8D}"/>
    <hyperlink ref="A26" r:id="rId9" display="Monash Remove Access" xr:uid="{5F83D27A-3F7C-8F4F-9CB1-E332E622EB4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Current-EH-PH-SH-Kids-26062026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A/Prof J. Oliver Daly</dc:creator>
  <cp:lastModifiedBy>A/Prof J. Oliver Daly</cp:lastModifiedBy>
  <dcterms:created xsi:type="dcterms:W3CDTF">2026-06-25T22:49:25Z</dcterms:created>
  <dcterms:modified xsi:type="dcterms:W3CDTF">2026-08-16T21:21:23Z</dcterms:modified>
</cp:coreProperties>
</file>